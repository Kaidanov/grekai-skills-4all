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arary" sheetId="1" state="visible" r:id="rId1"/>
    <sheet name="Attractions" sheetId="2" state="visible" r:id="rId2"/>
    <sheet name="Foodies" sheetId="3" state="visible" r:id="rId3"/>
    <sheet name="Budget" sheetId="4" state="visible" r:id="rId4"/>
    <sheet name="Costs Remarks" sheetId="5" state="visible" r:id="rId5"/>
    <sheet name="Notes and tips" sheetId="6" state="visible" r:id="rId6"/>
    <sheet name="Prom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7">
    <font>
      <name val="Calibri"/>
      <family val="2"/>
      <color theme="1"/>
      <sz val="11"/>
      <scheme val="minor"/>
    </font>
    <font>
      <name val="Arial"/>
      <b val="1"/>
      <color rgb="001F4E5F"/>
      <sz val="11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6D5"/>
      </patternFill>
    </fill>
    <fill>
      <patternFill patternType="solid">
        <fgColor rgb="00DDEBF0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6" fillId="5" borderId="1" pivotButton="0" quotePrefix="0" xfId="0"/>
    <xf numFmtId="164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Piazza%20del%20Campo%2C%20Siena%20Siena" TargetMode="External" Id="rId1" /><Relationship Type="http://schemas.openxmlformats.org/officeDocument/2006/relationships/hyperlink" Target="https://www.tripadvisor.com/Search?q=Piazza%20del%20Campo%2C%20Siena%20Siena" TargetMode="External" Id="rId2" /><Relationship Type="http://schemas.openxmlformats.org/officeDocument/2006/relationships/hyperlink" Target="https://www.google.com/search?q=Piazza%20del%20Campo%2C%20Siena%20Siena%20reviews" TargetMode="External" Id="rId3" /><Relationship Type="http://schemas.openxmlformats.org/officeDocument/2006/relationships/hyperlink" Target="https://www.google.com/maps/search/?api=1&amp;query=Duomo%20di%20Siena%20Siena" TargetMode="External" Id="rId4" /><Relationship Type="http://schemas.openxmlformats.org/officeDocument/2006/relationships/hyperlink" Target="https://www.tripadvisor.com/Search?q=Duomo%20di%20Siena%20Siena" TargetMode="External" Id="rId5" /><Relationship Type="http://schemas.openxmlformats.org/officeDocument/2006/relationships/hyperlink" Target="https://www.google.com/search?q=Duomo%20di%20Siena%20Siena%20reviews" TargetMode="External" Id="rId6" /><Relationship Type="http://schemas.openxmlformats.org/officeDocument/2006/relationships/hyperlink" Target="https://www.google.com/maps/search/?api=1&amp;query=San%20Gimignano%20Towers%20San%20Gimignano" TargetMode="External" Id="rId7" /><Relationship Type="http://schemas.openxmlformats.org/officeDocument/2006/relationships/hyperlink" Target="https://www.tripadvisor.com/Search?q=San%20Gimignano%20Towers%20San%20Gimignano" TargetMode="External" Id="rId8" /><Relationship Type="http://schemas.openxmlformats.org/officeDocument/2006/relationships/hyperlink" Target="https://www.google.com/search?q=San%20Gimignano%20Towers%20San%20Gimignano%20reviews" TargetMode="External" Id="rId9" /><Relationship Type="http://schemas.openxmlformats.org/officeDocument/2006/relationships/hyperlink" Target="https://www.google.com/maps/search/?api=1&amp;query=Greve%20in%20Chianti%20Market%20Greve%20in%20Chianti" TargetMode="External" Id="rId10" /><Relationship Type="http://schemas.openxmlformats.org/officeDocument/2006/relationships/hyperlink" Target="https://www.tripadvisor.com/Search?q=Greve%20in%20Chianti%20Market%20Greve%20in%20Chianti" TargetMode="External" Id="rId11" /><Relationship Type="http://schemas.openxmlformats.org/officeDocument/2006/relationships/hyperlink" Target="https://www.google.com/search?q=Greve%20in%20Chianti%20Market%20Greve%20in%20Chianti%20reviews" TargetMode="External" Id="rId12" /><Relationship Type="http://schemas.openxmlformats.org/officeDocument/2006/relationships/hyperlink" Target="https://www.google.com/maps/search/?api=1&amp;query=Castello%20di%20Verrazzano%20%28winery%29%20Greve%20in%20Chianti" TargetMode="External" Id="rId13" /><Relationship Type="http://schemas.openxmlformats.org/officeDocument/2006/relationships/hyperlink" Target="https://www.tripadvisor.com/Search?q=Castello%20di%20Verrazzano%20%28winery%29%20Greve%20in%20Chianti" TargetMode="External" Id="rId14" /><Relationship Type="http://schemas.openxmlformats.org/officeDocument/2006/relationships/hyperlink" Target="https://www.google.com/search?q=Castello%20di%20Verrazzano%20%28winery%29%20Greve%20in%20Chianti%20reviews" TargetMode="External" Id="rId15" /><Relationship Type="http://schemas.openxmlformats.org/officeDocument/2006/relationships/hyperlink" Target="https://www.google.com/maps/search/?api=1&amp;query=Val%20d%27Orcia%20Panorama%20%28Pienza%29%20Pienza" TargetMode="External" Id="rId16" /><Relationship Type="http://schemas.openxmlformats.org/officeDocument/2006/relationships/hyperlink" Target="https://www.tripadvisor.com/Search?q=Val%20d%27Orcia%20Panorama%20%28Pienza%29%20Pienza" TargetMode="External" Id="rId17" /><Relationship Type="http://schemas.openxmlformats.org/officeDocument/2006/relationships/hyperlink" Target="https://www.google.com/search?q=Val%20d%27Orcia%20Panorama%20%28Pienza%29%20Pienza%20reviews" TargetMode="External" Id="rId18" /><Relationship Type="http://schemas.openxmlformats.org/officeDocument/2006/relationships/hyperlink" Target="https://www.google.com/maps/search/?api=1&amp;query=Bagno%20Vignoni%20Thermal%20Village%20Bagno%20Vignoni" TargetMode="External" Id="rId19" /><Relationship Type="http://schemas.openxmlformats.org/officeDocument/2006/relationships/hyperlink" Target="https://www.tripadvisor.com/Search?q=Bagno%20Vignoni%20Thermal%20Village%20Bagno%20Vignoni" TargetMode="External" Id="rId20" /><Relationship Type="http://schemas.openxmlformats.org/officeDocument/2006/relationships/hyperlink" Target="https://www.google.com/search?q=Bagno%20Vignoni%20Thermal%20Village%20Bagno%20Vignoni%20reviews" TargetMode="External" Id="rId21" /><Relationship Type="http://schemas.openxmlformats.org/officeDocument/2006/relationships/hyperlink" Target="https://www.google.com/maps/search/?api=1&amp;query=Montepulciano%20Old%20Town%20Montepulciano" TargetMode="External" Id="rId22" /><Relationship Type="http://schemas.openxmlformats.org/officeDocument/2006/relationships/hyperlink" Target="https://www.tripadvisor.com/Search?q=Montepulciano%20Old%20Town%20Montepulciano" TargetMode="External" Id="rId23" /><Relationship Type="http://schemas.openxmlformats.org/officeDocument/2006/relationships/hyperlink" Target="https://www.google.com/search?q=Montepulciano%20Old%20Town%20Montepulciano%20reviews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Pienza%20Pecorino%20Tasting%20Pienza" TargetMode="External" Id="rId1" /><Relationship Type="http://schemas.openxmlformats.org/officeDocument/2006/relationships/hyperlink" Target="https://www.tripadvisor.com/Search?q=Pienza%20Pecorino%20Tasting%20Pienza" TargetMode="External" Id="rId2" /><Relationship Type="http://schemas.openxmlformats.org/officeDocument/2006/relationships/hyperlink" Target="https://www.google.com/search?q=Pienza%20Pecorino%20Tasting%20Pienza%20review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6" customWidth="1" min="3" max="3"/>
    <col width="50" customWidth="1" min="4" max="4"/>
    <col width="28" customWidth="1" min="5" max="5"/>
    <col width="40" customWidth="1" min="6" max="6"/>
  </cols>
  <sheetData>
    <row r="1">
      <c r="A1" s="1" t="inlineStr">
        <is>
          <t>Tuscany Family Summer</t>
        </is>
      </c>
    </row>
    <row r="2">
      <c r="A2" s="2" t="inlineStr">
        <is>
          <t>2026-07-22 → 2026-07-29  ·  2 adults + 2 children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Location</t>
        </is>
      </c>
      <c r="D4" s="3" t="inlineStr">
        <is>
          <t>Activities</t>
        </is>
      </c>
      <c r="E4" s="3" t="inlineStr">
        <is>
          <t>Accommodation</t>
        </is>
      </c>
      <c r="F4" s="3" t="inlineStr">
        <is>
          <t>Notes</t>
        </is>
      </c>
    </row>
    <row r="5">
      <c r="A5" s="4" t="inlineStr">
        <is>
          <t>2026-07-22</t>
        </is>
      </c>
      <c r="B5" s="4" t="n">
        <v>1</v>
      </c>
      <c r="C5" s="4" t="inlineStr">
        <is>
          <t>Agriturismo Chianti (Greve)</t>
        </is>
      </c>
      <c r="D5" s="4" t="inlineStr">
        <is>
          <t>09:21 San Gimignano Towers; 12:31 Piazza del Campo, Siena</t>
        </is>
      </c>
      <c r="E5" s="4" t="inlineStr">
        <is>
          <t>Agriturismo Chianti (Greve)</t>
        </is>
      </c>
      <c r="F5" s="4" t="inlineStr"/>
    </row>
    <row r="6">
      <c r="A6" s="4" t="inlineStr">
        <is>
          <t>2026-07-23</t>
        </is>
      </c>
      <c r="B6" s="4" t="n">
        <v>2</v>
      </c>
      <c r="C6" s="4" t="inlineStr">
        <is>
          <t>Agriturismo Chianti (Greve)</t>
        </is>
      </c>
      <c r="D6" s="4" t="inlineStr">
        <is>
          <t>09:00 Greve in Chianti Market; 10:47 Castello di Verrazzano (winery)</t>
        </is>
      </c>
      <c r="E6" s="4" t="inlineStr">
        <is>
          <t>Agriturismo Chianti (Greve)</t>
        </is>
      </c>
      <c r="F6" s="4" t="inlineStr"/>
    </row>
    <row r="7">
      <c r="A7" s="4" t="inlineStr">
        <is>
          <t>2026-07-24</t>
        </is>
      </c>
      <c r="B7" s="4" t="n">
        <v>3</v>
      </c>
      <c r="C7" s="4" t="inlineStr">
        <is>
          <t>Agriturismo Chianti (Greve)</t>
        </is>
      </c>
      <c r="D7" s="4" t="inlineStr">
        <is>
          <t>Open / travel day</t>
        </is>
      </c>
      <c r="E7" s="4" t="inlineStr">
        <is>
          <t>Agriturismo Chianti (Greve)</t>
        </is>
      </c>
      <c r="F7" s="4" t="inlineStr"/>
    </row>
    <row r="8">
      <c r="A8" s="4" t="inlineStr">
        <is>
          <t>2026-07-25</t>
        </is>
      </c>
      <c r="B8" s="4" t="n">
        <v>4</v>
      </c>
      <c r="C8" s="4" t="inlineStr">
        <is>
          <t>Agriturismo Chianti (Greve)</t>
        </is>
      </c>
      <c r="D8" s="4" t="inlineStr">
        <is>
          <t>09:25 Duomo di Siena</t>
        </is>
      </c>
      <c r="E8" s="4" t="inlineStr">
        <is>
          <t>Agriturismo Chianti (Greve)</t>
        </is>
      </c>
      <c r="F8" s="4" t="inlineStr"/>
    </row>
    <row r="9">
      <c r="A9" s="4" t="inlineStr">
        <is>
          <t>2026-07-26</t>
        </is>
      </c>
      <c r="B9" s="4" t="n">
        <v>5</v>
      </c>
      <c r="C9" s="4" t="inlineStr">
        <is>
          <t>Val d'Orcia Farmhouse (Pienza)</t>
        </is>
      </c>
      <c r="D9" s="4" t="inlineStr">
        <is>
          <t>09:00 Val d'Orcia Panorama (Pienza); 10:30 Pienza Pecorino Tasting</t>
        </is>
      </c>
      <c r="E9" s="4" t="inlineStr">
        <is>
          <t>Val d'Orcia Farmhouse (Pienza)</t>
        </is>
      </c>
      <c r="F9" s="4" t="inlineStr"/>
    </row>
    <row r="10">
      <c r="A10" s="4" t="inlineStr">
        <is>
          <t>2026-07-27</t>
        </is>
      </c>
      <c r="B10" s="4" t="n">
        <v>6</v>
      </c>
      <c r="C10" s="4" t="inlineStr">
        <is>
          <t>Val d'Orcia Farmhouse (Pienza)</t>
        </is>
      </c>
      <c r="D10" s="4" t="inlineStr">
        <is>
          <t>09:07 Montepulciano Old Town</t>
        </is>
      </c>
      <c r="E10" s="4" t="inlineStr">
        <is>
          <t>Val d'Orcia Farmhouse (Pienza)</t>
        </is>
      </c>
      <c r="F10" s="4" t="inlineStr"/>
    </row>
    <row r="11">
      <c r="A11" s="4" t="inlineStr">
        <is>
          <t>2026-07-28</t>
        </is>
      </c>
      <c r="B11" s="4" t="n">
        <v>7</v>
      </c>
      <c r="C11" s="4" t="inlineStr">
        <is>
          <t>Val d'Orcia Farmhouse (Pienza)</t>
        </is>
      </c>
      <c r="D11" s="4" t="inlineStr">
        <is>
          <t>09:06 Bagno Vignoni Thermal Village</t>
        </is>
      </c>
      <c r="E11" s="4" t="inlineStr">
        <is>
          <t>Val d'Orcia Farmhouse (Pienza)</t>
        </is>
      </c>
      <c r="F11" s="4" t="inlineStr"/>
    </row>
    <row r="12">
      <c r="A12" s="4" t="inlineStr">
        <is>
          <t>2026-07-29</t>
        </is>
      </c>
      <c r="B12" s="4" t="n">
        <v>8</v>
      </c>
      <c r="C12" s="4" t="inlineStr">
        <is>
          <t>—</t>
        </is>
      </c>
      <c r="D12" s="4" t="inlineStr">
        <is>
          <t>Open / travel day</t>
        </is>
      </c>
      <c r="E12" s="4" t="inlineStr">
        <is>
          <t>—</t>
        </is>
      </c>
      <c r="F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4" customWidth="1" min="4" max="4"/>
    <col width="20" customWidth="1" min="5" max="5"/>
    <col width="18" customWidth="1" min="6" max="6"/>
    <col width="12" customWidth="1" min="7" max="7"/>
    <col width="12" customWidth="1" min="8" max="8"/>
    <col width="15" customWidth="1" min="9" max="9"/>
    <col width="26" customWidth="1" min="10" max="10"/>
    <col width="40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Name</t>
        </is>
      </c>
      <c r="B1" s="3" t="inlineStr">
        <is>
          <t>Type</t>
        </is>
      </c>
      <c r="C1" s="3" t="inlineStr">
        <is>
          <t>Location</t>
        </is>
      </c>
      <c r="D1" s="3" t="inlineStr">
        <is>
          <t>Highlights</t>
        </is>
      </c>
      <c r="E1" s="3" t="inlineStr">
        <is>
          <t>Accessibility</t>
        </is>
      </c>
      <c r="F1" s="3" t="inlineStr">
        <is>
          <t>Cost</t>
        </is>
      </c>
      <c r="G1" s="3" t="inlineStr">
        <is>
          <t>Popularity Grade</t>
        </is>
      </c>
      <c r="H1" s="3" t="inlineStr">
        <is>
          <t>Traveler's Reviews Grade</t>
        </is>
      </c>
      <c r="I1" s="3" t="inlineStr">
        <is>
          <t>Suitable For</t>
        </is>
      </c>
      <c r="J1" s="3" t="inlineStr">
        <is>
          <t>Special Features</t>
        </is>
      </c>
      <c r="K1" s="3" t="inlineStr">
        <is>
          <t>Interesting Reviews / Notes</t>
        </is>
      </c>
      <c r="L1" s="3" t="inlineStr">
        <is>
          <t>Google Maps</t>
        </is>
      </c>
      <c r="M1" s="3" t="inlineStr">
        <is>
          <t>Tripadvisor</t>
        </is>
      </c>
      <c r="N1" s="3" t="inlineStr">
        <is>
          <t>Google Reviews</t>
        </is>
      </c>
    </row>
    <row r="2">
      <c r="A2" s="5" t="inlineStr">
        <is>
          <t>Piazza del Campo, Siena</t>
        </is>
      </c>
      <c r="B2" s="5" t="inlineStr">
        <is>
          <t>Attraction</t>
        </is>
      </c>
      <c r="C2" s="5" t="inlineStr">
        <is>
          <t>Siena</t>
        </is>
      </c>
      <c r="D2" s="5" t="inlineStr">
        <is>
          <t>Shell-shaped medieval square, the heart of Siena.</t>
        </is>
      </c>
      <c r="E2" s="5" t="inlineStr">
        <is>
          <t>Stroller-friendly main routes</t>
        </is>
      </c>
      <c r="F2" s="5" t="inlineStr">
        <is>
          <t>€</t>
        </is>
      </c>
      <c r="G2" s="5" t="inlineStr">
        <is>
          <t>4.8/5</t>
        </is>
      </c>
      <c r="H2" s="5" t="inlineStr">
        <is>
          <t>41200 reviews</t>
        </is>
      </c>
      <c r="I2" s="5" t="inlineStr">
        <is>
          <t>Families</t>
        </is>
      </c>
      <c r="J2" s="5" t="inlineStr">
        <is>
          <t>⭐ embraced</t>
        </is>
      </c>
      <c r="K2" s="5" t="inlineStr">
        <is>
          <t>Go early — shade is scarce by midday in July.</t>
        </is>
      </c>
      <c r="L2" s="6" t="inlineStr">
        <is>
          <t>https://www.google.com/maps/search/?api=1&amp;query=Piazza%20del%20Campo%2C%20Siena%20Siena</t>
        </is>
      </c>
      <c r="M2" s="6" t="inlineStr">
        <is>
          <t>https://www.tripadvisor.com/Search?q=Piazza%20del%20Campo%2C%20Siena%20Siena</t>
        </is>
      </c>
      <c r="N2" s="6" t="inlineStr">
        <is>
          <t>https://www.google.com/search?q=Piazza%20del%20Campo%2C%20Siena%20Siena%20reviews</t>
        </is>
      </c>
    </row>
    <row r="3">
      <c r="A3" s="4" t="inlineStr">
        <is>
          <t>Duomo di Siena</t>
        </is>
      </c>
      <c r="B3" s="4" t="inlineStr">
        <is>
          <t>Attraction</t>
        </is>
      </c>
      <c r="C3" s="4" t="inlineStr">
        <is>
          <t>Siena</t>
        </is>
      </c>
      <c r="D3" s="4" t="inlineStr">
        <is>
          <t>Striped marble cathedral with a mosaic floor.</t>
        </is>
      </c>
      <c r="E3" s="4" t="inlineStr">
        <is>
          <t>Stroller-friendly main routes</t>
        </is>
      </c>
      <c r="F3" s="4" t="inlineStr">
        <is>
          <t>€</t>
        </is>
      </c>
      <c r="G3" s="4" t="inlineStr">
        <is>
          <t>4.7/5</t>
        </is>
      </c>
      <c r="H3" s="4" t="inlineStr">
        <is>
          <t>28900 reviews</t>
        </is>
      </c>
      <c r="I3" s="4" t="inlineStr">
        <is>
          <t>Families</t>
        </is>
      </c>
      <c r="J3" s="4" t="inlineStr"/>
      <c r="K3" s="4" t="inlineStr">
        <is>
          <t>Timed entry — book the slot online the night before.</t>
        </is>
      </c>
      <c r="L3" s="6" t="inlineStr">
        <is>
          <t>https://www.google.com/maps/search/?api=1&amp;query=Duomo%20di%20Siena%20Siena</t>
        </is>
      </c>
      <c r="M3" s="6" t="inlineStr">
        <is>
          <t>https://www.tripadvisor.com/Search?q=Duomo%20di%20Siena%20Siena</t>
        </is>
      </c>
      <c r="N3" s="6" t="inlineStr">
        <is>
          <t>https://www.google.com/search?q=Duomo%20di%20Siena%20Siena%20reviews</t>
        </is>
      </c>
    </row>
    <row r="4">
      <c r="A4" s="4" t="inlineStr">
        <is>
          <t>San Gimignano Towers</t>
        </is>
      </c>
      <c r="B4" s="4" t="inlineStr">
        <is>
          <t>Attraction</t>
        </is>
      </c>
      <c r="C4" s="4" t="inlineStr">
        <is>
          <t>San Gimignano</t>
        </is>
      </c>
      <c r="D4" s="4" t="inlineStr">
        <is>
          <t>Skyline of medieval stone towers; world-famous gelato below.</t>
        </is>
      </c>
      <c r="E4" s="4" t="inlineStr">
        <is>
          <t>Stroller-friendly main routes</t>
        </is>
      </c>
      <c r="F4" s="4" t="inlineStr">
        <is>
          <t>€</t>
        </is>
      </c>
      <c r="G4" s="4" t="inlineStr">
        <is>
          <t>4.7/5</t>
        </is>
      </c>
      <c r="H4" s="4" t="inlineStr">
        <is>
          <t>19800 reviews</t>
        </is>
      </c>
      <c r="I4" s="4" t="inlineStr">
        <is>
          <t>Families</t>
        </is>
      </c>
      <c r="J4" s="4" t="inlineStr"/>
      <c r="K4" s="4" t="inlineStr">
        <is>
          <t>Gelateria Dondoli on the main square is worth the queue.</t>
        </is>
      </c>
      <c r="L4" s="6" t="inlineStr">
        <is>
          <t>https://www.google.com/maps/search/?api=1&amp;query=San%20Gimignano%20Towers%20San%20Gimignano</t>
        </is>
      </c>
      <c r="M4" s="6" t="inlineStr">
        <is>
          <t>https://www.tripadvisor.com/Search?q=San%20Gimignano%20Towers%20San%20Gimignano</t>
        </is>
      </c>
      <c r="N4" s="6" t="inlineStr">
        <is>
          <t>https://www.google.com/search?q=San%20Gimignano%20Towers%20San%20Gimignano%20reviews</t>
        </is>
      </c>
    </row>
    <row r="5">
      <c r="A5" s="4" t="inlineStr">
        <is>
          <t>Greve in Chianti Market</t>
        </is>
      </c>
      <c r="B5" s="4" t="inlineStr">
        <is>
          <t>Shopping</t>
        </is>
      </c>
      <c r="C5" s="4" t="inlineStr">
        <is>
          <t>Greve in Chianti</t>
        </is>
      </c>
      <c r="D5" s="4" t="inlineStr">
        <is>
          <t>Saturday-morning produce, cheese and leather stalls.</t>
        </is>
      </c>
      <c r="E5" s="4" t="inlineStr">
        <is>
          <t>Stroller-friendly main routes</t>
        </is>
      </c>
      <c r="F5" s="4" t="inlineStr">
        <is>
          <t>€</t>
        </is>
      </c>
      <c r="G5" s="4" t="inlineStr">
        <is>
          <t>4.5/5</t>
        </is>
      </c>
      <c r="H5" s="4" t="inlineStr">
        <is>
          <t>3400 reviews</t>
        </is>
      </c>
      <c r="I5" s="4" t="inlineStr">
        <is>
          <t>Families</t>
        </is>
      </c>
      <c r="J5" s="4" t="inlineStr"/>
      <c r="K5" s="4" t="inlineStr">
        <is>
          <t>Saturdays only — closed Sundays.</t>
        </is>
      </c>
      <c r="L5" s="6" t="inlineStr">
        <is>
          <t>https://www.google.com/maps/search/?api=1&amp;query=Greve%20in%20Chianti%20Market%20Greve%20in%20Chianti</t>
        </is>
      </c>
      <c r="M5" s="6" t="inlineStr">
        <is>
          <t>https://www.tripadvisor.com/Search?q=Greve%20in%20Chianti%20Market%20Greve%20in%20Chianti</t>
        </is>
      </c>
      <c r="N5" s="6" t="inlineStr">
        <is>
          <t>https://www.google.com/search?q=Greve%20in%20Chianti%20Market%20Greve%20in%20Chianti%20reviews</t>
        </is>
      </c>
    </row>
    <row r="6">
      <c r="A6" s="5" t="inlineStr">
        <is>
          <t>Castello di Verrazzano (winery)</t>
        </is>
      </c>
      <c r="B6" s="5" t="inlineStr">
        <is>
          <t>Winery</t>
        </is>
      </c>
      <c r="C6" s="5" t="inlineStr">
        <is>
          <t>Greve in Chianti</t>
        </is>
      </c>
      <c r="D6" s="5" t="inlineStr">
        <is>
          <t>Hilltop Chianti Classico estate with cellar tours.</t>
        </is>
      </c>
      <c r="E6" s="5" t="inlineStr">
        <is>
          <t>Stroller-friendly main routes</t>
        </is>
      </c>
      <c r="F6" s="5" t="inlineStr">
        <is>
          <t>€</t>
        </is>
      </c>
      <c r="G6" s="5" t="inlineStr">
        <is>
          <t>4.8/5</t>
        </is>
      </c>
      <c r="H6" s="5" t="inlineStr">
        <is>
          <t>5200 reviews</t>
        </is>
      </c>
      <c r="I6" s="5" t="inlineStr">
        <is>
          <t>Families</t>
        </is>
      </c>
      <c r="J6" s="5" t="inlineStr">
        <is>
          <t>⭐ embraced</t>
        </is>
      </c>
      <c r="K6" s="5" t="inlineStr">
        <is>
          <t>Booked: 11:00 tour + tasting, kids get grape juice.</t>
        </is>
      </c>
      <c r="L6" s="6" t="inlineStr">
        <is>
          <t>https://www.google.com/maps/search/?api=1&amp;query=Castello%20di%20Verrazzano%20%28winery%29%20Greve%20in%20Chianti</t>
        </is>
      </c>
      <c r="M6" s="6" t="inlineStr">
        <is>
          <t>https://www.tripadvisor.com/Search?q=Castello%20di%20Verrazzano%20%28winery%29%20Greve%20in%20Chianti</t>
        </is>
      </c>
      <c r="N6" s="6" t="inlineStr">
        <is>
          <t>https://www.google.com/search?q=Castello%20di%20Verrazzano%20%28winery%29%20Greve%20in%20Chianti%20reviews</t>
        </is>
      </c>
    </row>
    <row r="7">
      <c r="A7" s="4" t="inlineStr">
        <is>
          <t>Val d'Orcia Panorama (Pienza)</t>
        </is>
      </c>
      <c r="B7" s="4" t="inlineStr">
        <is>
          <t>Nature</t>
        </is>
      </c>
      <c r="C7" s="4" t="inlineStr">
        <is>
          <t>Pienza</t>
        </is>
      </c>
      <c r="D7" s="4" t="inlineStr">
        <is>
          <t>The postcard rolling hills and cypress lines.</t>
        </is>
      </c>
      <c r="E7" s="4" t="inlineStr">
        <is>
          <t>Stroller-friendly main routes</t>
        </is>
      </c>
      <c r="F7" s="4" t="inlineStr">
        <is>
          <t>€</t>
        </is>
      </c>
      <c r="G7" s="4" t="inlineStr">
        <is>
          <t>4.9/5</t>
        </is>
      </c>
      <c r="H7" s="4" t="inlineStr">
        <is>
          <t>12100 reviews</t>
        </is>
      </c>
      <c r="I7" s="4" t="inlineStr">
        <is>
          <t>Families</t>
        </is>
      </c>
      <c r="J7" s="4" t="inlineStr"/>
      <c r="K7" s="4" t="inlineStr">
        <is>
          <t>Golden hour from the Pienza town walls is unbeatable.</t>
        </is>
      </c>
      <c r="L7" s="6" t="inlineStr">
        <is>
          <t>https://www.google.com/maps/search/?api=1&amp;query=Val%20d%27Orcia%20Panorama%20%28Pienza%29%20Pienza</t>
        </is>
      </c>
      <c r="M7" s="6" t="inlineStr">
        <is>
          <t>https://www.tripadvisor.com/Search?q=Val%20d%27Orcia%20Panorama%20%28Pienza%29%20Pienza</t>
        </is>
      </c>
      <c r="N7" s="6" t="inlineStr">
        <is>
          <t>https://www.google.com/search?q=Val%20d%27Orcia%20Panorama%20%28Pienza%29%20Pienza%20reviews</t>
        </is>
      </c>
    </row>
    <row r="8">
      <c r="A8" s="4" t="inlineStr">
        <is>
          <t>Bagno Vignoni Thermal Village</t>
        </is>
      </c>
      <c r="B8" s="4" t="inlineStr">
        <is>
          <t>Nature</t>
        </is>
      </c>
      <c r="C8" s="4" t="inlineStr">
        <is>
          <t>Bagno Vignoni</t>
        </is>
      </c>
      <c r="D8" s="4" t="inlineStr">
        <is>
          <t>A piazza that is a steaming thermal pool.</t>
        </is>
      </c>
      <c r="E8" s="4" t="inlineStr">
        <is>
          <t>Stroller-friendly main routes</t>
        </is>
      </c>
      <c r="F8" s="4" t="inlineStr">
        <is>
          <t>€</t>
        </is>
      </c>
      <c r="G8" s="4" t="inlineStr">
        <is>
          <t>4.6/5</t>
        </is>
      </c>
      <c r="H8" s="4" t="inlineStr">
        <is>
          <t>8700 reviews</t>
        </is>
      </c>
      <c r="I8" s="4" t="inlineStr">
        <is>
          <t>Families</t>
        </is>
      </c>
      <c r="J8" s="4" t="inlineStr"/>
      <c r="K8" s="4" t="inlineStr">
        <is>
          <t>Free to look; nearby pools for a warm soak.</t>
        </is>
      </c>
      <c r="L8" s="6" t="inlineStr">
        <is>
          <t>https://www.google.com/maps/search/?api=1&amp;query=Bagno%20Vignoni%20Thermal%20Village%20Bagno%20Vignoni</t>
        </is>
      </c>
      <c r="M8" s="6" t="inlineStr">
        <is>
          <t>https://www.tripadvisor.com/Search?q=Bagno%20Vignoni%20Thermal%20Village%20Bagno%20Vignoni</t>
        </is>
      </c>
      <c r="N8" s="6" t="inlineStr">
        <is>
          <t>https://www.google.com/search?q=Bagno%20Vignoni%20Thermal%20Village%20Bagno%20Vignoni%20reviews</t>
        </is>
      </c>
    </row>
    <row r="9">
      <c r="A9" s="4" t="inlineStr">
        <is>
          <t>Montepulciano Old Town</t>
        </is>
      </c>
      <c r="B9" s="4" t="inlineStr">
        <is>
          <t>Attraction</t>
        </is>
      </c>
      <c r="C9" s="4" t="inlineStr">
        <is>
          <t>Montepulciano</t>
        </is>
      </c>
      <c r="D9" s="4" t="inlineStr">
        <is>
          <t>Renaissance hill town famous for Vino Nobile.</t>
        </is>
      </c>
      <c r="E9" s="4" t="inlineStr">
        <is>
          <t>Stroller-friendly main routes</t>
        </is>
      </c>
      <c r="F9" s="4" t="inlineStr">
        <is>
          <t>€</t>
        </is>
      </c>
      <c r="G9" s="4" t="inlineStr">
        <is>
          <t>4.7/5</t>
        </is>
      </c>
      <c r="H9" s="4" t="inlineStr">
        <is>
          <t>14600 reviews</t>
        </is>
      </c>
      <c r="I9" s="4" t="inlineStr">
        <is>
          <t>Families</t>
        </is>
      </c>
      <c r="J9" s="4" t="inlineStr"/>
      <c r="K9" s="4" t="inlineStr">
        <is>
          <t>Steep lanes — comfortable shoes; great sunset wine bars.</t>
        </is>
      </c>
      <c r="L9" s="6" t="inlineStr">
        <is>
          <t>https://www.google.com/maps/search/?api=1&amp;query=Montepulciano%20Old%20Town%20Montepulciano</t>
        </is>
      </c>
      <c r="M9" s="6" t="inlineStr">
        <is>
          <t>https://www.tripadvisor.com/Search?q=Montepulciano%20Old%20Town%20Montepulciano</t>
        </is>
      </c>
      <c r="N9" s="6" t="inlineStr">
        <is>
          <t>https://www.google.com/search?q=Montepulciano%20Old%20Town%20Montepulciano%20reviews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L9" r:id="rId22"/>
    <hyperlink xmlns:r="http://schemas.openxmlformats.org/officeDocument/2006/relationships" ref="M9" r:id="rId23"/>
    <hyperlink xmlns:r="http://schemas.openxmlformats.org/officeDocument/2006/relationships" ref="N9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12" customWidth="1" min="4" max="4"/>
    <col width="20" customWidth="1" min="5" max="5"/>
    <col width="26" customWidth="1" min="6" max="6"/>
    <col width="26" customWidth="1" min="7" max="7"/>
    <col width="40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Name of the Place</t>
        </is>
      </c>
      <c r="B1" s="3" t="inlineStr">
        <is>
          <t>Average Price</t>
        </is>
      </c>
      <c r="C1" s="3" t="inlineStr">
        <is>
          <t>Location</t>
        </is>
      </c>
      <c r="D1" s="3" t="inlineStr">
        <is>
          <t>Popularity Grade</t>
        </is>
      </c>
      <c r="E1" s="3" t="inlineStr">
        <is>
          <t>Type of Dishes</t>
        </is>
      </c>
      <c r="F1" s="3" t="inlineStr">
        <is>
          <t>Specialty</t>
        </is>
      </c>
      <c r="G1" s="3" t="inlineStr">
        <is>
          <t>Ambiance Description</t>
        </is>
      </c>
      <c r="H1" s="3" t="inlineStr">
        <is>
          <t>Interesting Reviews / Notes</t>
        </is>
      </c>
      <c r="I1" s="3" t="inlineStr">
        <is>
          <t>Google Maps</t>
        </is>
      </c>
      <c r="J1" s="3" t="inlineStr">
        <is>
          <t>Tripadvisor</t>
        </is>
      </c>
      <c r="K1" s="3" t="inlineStr">
        <is>
          <t>Google Reviews</t>
        </is>
      </c>
    </row>
    <row r="2">
      <c r="A2" s="4" t="inlineStr">
        <is>
          <t>Pienza Pecorino Tasting</t>
        </is>
      </c>
      <c r="B2" s="4" t="inlineStr">
        <is>
          <t>€€</t>
        </is>
      </c>
      <c r="C2" s="4" t="inlineStr">
        <is>
          <t>Pienza</t>
        </is>
      </c>
      <c r="D2" s="4" t="inlineStr">
        <is>
          <t>4.6/5</t>
        </is>
      </c>
      <c r="E2" s="4" t="inlineStr">
        <is>
          <t>Aged pecorino, honey, cured meats</t>
        </is>
      </c>
      <c r="F2" s="4" t="inlineStr">
        <is>
          <t>DOP Pecorino di Pienza</t>
        </is>
      </c>
      <c r="G2" s="4" t="inlineStr">
        <is>
          <t>Family-run tasting room</t>
        </is>
      </c>
      <c r="H2" s="4" t="inlineStr">
        <is>
          <t>Pair with local honey and a glass of Vino Nobile.</t>
        </is>
      </c>
      <c r="I2" s="6" t="inlineStr">
        <is>
          <t>https://www.google.com/maps/search/?api=1&amp;query=Pienza%20Pecorino%20Tasting%20Pienza</t>
        </is>
      </c>
      <c r="J2" s="6" t="inlineStr">
        <is>
          <t>https://www.tripadvisor.com/Search?q=Pienza%20Pecorino%20Tasting%20Pienza</t>
        </is>
      </c>
      <c r="K2" s="6" t="inlineStr">
        <is>
          <t>https://www.google.com/search?q=Pienza%20Pecorino%20Tasting%20Pienza%20reviews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40" customWidth="1" min="5" max="5"/>
  </cols>
  <sheetData>
    <row r="1">
      <c r="A1" s="7" t="inlineStr">
        <is>
          <t>Tuscany Family Summer — Budget</t>
        </is>
      </c>
    </row>
    <row r="2">
      <c r="A2" s="8" t="inlineStr">
        <is>
          <t>2 adults + 2 children · currency EUR · figures are planning estimates</t>
        </is>
      </c>
    </row>
    <row r="4">
      <c r="A4" s="7" t="inlineStr">
        <is>
          <t>1. Flights</t>
        </is>
      </c>
    </row>
    <row r="5">
      <c r="A5" s="3" t="inlineStr">
        <is>
          <t>Item</t>
        </is>
      </c>
      <c r="B5" s="3" t="inlineStr">
        <is>
          <t>Quantity</t>
        </is>
      </c>
      <c r="C5" s="3" t="inlineStr">
        <is>
          <t>Unit Cost</t>
        </is>
      </c>
      <c r="D5" s="3" t="inlineStr">
        <is>
          <t>Total</t>
        </is>
      </c>
      <c r="E5" s="3" t="inlineStr">
        <is>
          <t>Notes</t>
        </is>
      </c>
    </row>
    <row r="6">
      <c r="A6" s="4" t="inlineStr">
        <is>
          <t>TLV→FLR→TLV (family of 4)</t>
        </is>
      </c>
      <c r="B6" s="4" t="n">
        <v>4</v>
      </c>
      <c r="C6" s="9" t="n">
        <v>320</v>
      </c>
      <c r="D6" s="9">
        <f>B6*C6</f>
        <v/>
      </c>
      <c r="E6" s="4" t="inlineStr">
        <is>
          <t>Round-trip economy estimate</t>
        </is>
      </c>
    </row>
    <row r="7">
      <c r="A7" s="10" t="inlineStr">
        <is>
          <t>1. Flights Subtotal</t>
        </is>
      </c>
      <c r="B7" s="11" t="n"/>
      <c r="C7" s="11" t="n"/>
      <c r="D7" s="12">
        <f>SUM(D6:D6)</f>
        <v/>
      </c>
      <c r="E7" s="11" t="n"/>
    </row>
    <row r="9">
      <c r="A9" s="7" t="inlineStr">
        <is>
          <t>2. Accommodation</t>
        </is>
      </c>
    </row>
    <row r="10">
      <c r="A10" s="3" t="inlineStr">
        <is>
          <t>Item</t>
        </is>
      </c>
      <c r="B10" s="3" t="inlineStr">
        <is>
          <t>Quantity</t>
        </is>
      </c>
      <c r="C10" s="3" t="inlineStr">
        <is>
          <t>Unit Cost</t>
        </is>
      </c>
      <c r="D10" s="3" t="inlineStr">
        <is>
          <t>Total</t>
        </is>
      </c>
      <c r="E10" s="3" t="inlineStr">
        <is>
          <t>Notes</t>
        </is>
      </c>
    </row>
    <row r="11">
      <c r="A11" s="4" t="inlineStr">
        <is>
          <t>Agriturismo Chianti (Greve)</t>
        </is>
      </c>
      <c r="B11" s="4" t="n">
        <v>4</v>
      </c>
      <c r="C11" s="9" t="n">
        <v>180</v>
      </c>
      <c r="D11" s="9">
        <f>B11*C11</f>
        <v/>
      </c>
      <c r="E11" s="4" t="inlineStr">
        <is>
          <t>4 nights</t>
        </is>
      </c>
    </row>
    <row r="12">
      <c r="A12" s="4" t="inlineStr">
        <is>
          <t>Val d'Orcia Farmhouse (Pienza)</t>
        </is>
      </c>
      <c r="B12" s="4" t="n">
        <v>3</v>
      </c>
      <c r="C12" s="9" t="n">
        <v>195</v>
      </c>
      <c r="D12" s="9">
        <f>B12*C12</f>
        <v/>
      </c>
      <c r="E12" s="4" t="inlineStr">
        <is>
          <t>3 nights</t>
        </is>
      </c>
    </row>
    <row r="13">
      <c r="A13" s="10" t="inlineStr">
        <is>
          <t>2. Accommodation Subtotal</t>
        </is>
      </c>
      <c r="B13" s="11" t="n"/>
      <c r="C13" s="11" t="n"/>
      <c r="D13" s="12">
        <f>SUM(D11:D12)</f>
        <v/>
      </c>
      <c r="E13" s="11" t="n"/>
    </row>
    <row r="15">
      <c r="A15" s="7" t="inlineStr">
        <is>
          <t>3. Car &amp; fuel</t>
        </is>
      </c>
    </row>
    <row r="16">
      <c r="A16" s="3" t="inlineStr">
        <is>
          <t>Item</t>
        </is>
      </c>
      <c r="B16" s="3" t="inlineStr">
        <is>
          <t>Quantity</t>
        </is>
      </c>
      <c r="C16" s="3" t="inlineStr">
        <is>
          <t>Unit Cost</t>
        </is>
      </c>
      <c r="D16" s="3" t="inlineStr">
        <is>
          <t>Total</t>
        </is>
      </c>
      <c r="E16" s="3" t="inlineStr">
        <is>
          <t>Notes</t>
        </is>
      </c>
    </row>
    <row r="17">
      <c r="A17" s="4" t="inlineStr">
        <is>
          <t>Compact SUV rental</t>
        </is>
      </c>
      <c r="B17" s="4" t="n">
        <v>7</v>
      </c>
      <c r="C17" s="9" t="n">
        <v>55</v>
      </c>
      <c r="D17" s="9">
        <f>B17*C17</f>
        <v/>
      </c>
      <c r="E17" s="4" t="inlineStr">
        <is>
          <t>7 days</t>
        </is>
      </c>
    </row>
    <row r="18">
      <c r="A18" s="4" t="inlineStr">
        <is>
          <t>Fuel + tolls</t>
        </is>
      </c>
      <c r="B18" s="4" t="n">
        <v>1</v>
      </c>
      <c r="C18" s="9" t="n">
        <v>140</v>
      </c>
      <c r="D18" s="9">
        <f>B18*C18</f>
        <v/>
      </c>
      <c r="E18" s="4" t="inlineStr">
        <is>
          <t>Chianti ↔ Val d'Orcia loop</t>
        </is>
      </c>
    </row>
    <row r="19">
      <c r="A19" s="4" t="inlineStr">
        <is>
          <t>ZTL/parking</t>
        </is>
      </c>
      <c r="B19" s="4" t="n">
        <v>7</v>
      </c>
      <c r="C19" s="9" t="n">
        <v>12</v>
      </c>
      <c r="D19" s="9">
        <f>B19*C19</f>
        <v/>
      </c>
      <c r="E19" s="4" t="inlineStr">
        <is>
          <t>Town parking + ZTL care</t>
        </is>
      </c>
    </row>
    <row r="20">
      <c r="A20" s="10" t="inlineStr">
        <is>
          <t>3. Car &amp; fuel Subtotal</t>
        </is>
      </c>
      <c r="B20" s="11" t="n"/>
      <c r="C20" s="11" t="n"/>
      <c r="D20" s="12">
        <f>SUM(D17:D19)</f>
        <v/>
      </c>
      <c r="E20" s="11" t="n"/>
    </row>
    <row r="22">
      <c r="A22" s="7" t="inlineStr">
        <is>
          <t>4. Food</t>
        </is>
      </c>
    </row>
    <row r="23">
      <c r="A23" s="3" t="inlineStr">
        <is>
          <t>Item</t>
        </is>
      </c>
      <c r="B23" s="3" t="inlineStr">
        <is>
          <t>Quantity</t>
        </is>
      </c>
      <c r="C23" s="3" t="inlineStr">
        <is>
          <t>Unit Cost</t>
        </is>
      </c>
      <c r="D23" s="3" t="inlineStr">
        <is>
          <t>Total</t>
        </is>
      </c>
      <c r="E23" s="3" t="inlineStr">
        <is>
          <t>Notes</t>
        </is>
      </c>
    </row>
    <row r="24">
      <c r="A24" s="4" t="inlineStr">
        <is>
          <t>Breakfasts (in stays)</t>
        </is>
      </c>
      <c r="B24" s="4" t="n">
        <v>8</v>
      </c>
      <c r="C24" s="9" t="n">
        <v>0</v>
      </c>
      <c r="D24" s="9">
        <f>B24*C24</f>
        <v/>
      </c>
      <c r="E24" s="4" t="inlineStr">
        <is>
          <t>Included</t>
        </is>
      </c>
    </row>
    <row r="25">
      <c r="A25" s="4" t="inlineStr">
        <is>
          <t>Lunches</t>
        </is>
      </c>
      <c r="B25" s="4" t="n">
        <v>8</v>
      </c>
      <c r="C25" s="9" t="n">
        <v>60</v>
      </c>
      <c r="D25" s="9">
        <f>B25*C25</f>
        <v/>
      </c>
      <c r="E25" s="4" t="inlineStr">
        <is>
          <t>Family, casual</t>
        </is>
      </c>
    </row>
    <row r="26">
      <c r="A26" s="4" t="inlineStr">
        <is>
          <t>Dinners</t>
        </is>
      </c>
      <c r="B26" s="4" t="n">
        <v>8</v>
      </c>
      <c r="C26" s="9" t="n">
        <v>95</v>
      </c>
      <c r="D26" s="9">
        <f>B26*C26</f>
        <v/>
      </c>
      <c r="E26" s="4" t="inlineStr">
        <is>
          <t>Trattoria avg</t>
        </is>
      </c>
    </row>
    <row r="27">
      <c r="A27" s="10" t="inlineStr">
        <is>
          <t>4. Food Subtotal</t>
        </is>
      </c>
      <c r="B27" s="11" t="n"/>
      <c r="C27" s="11" t="n"/>
      <c r="D27" s="12">
        <f>SUM(D24:D26)</f>
        <v/>
      </c>
      <c r="E27" s="11" t="n"/>
    </row>
    <row r="29">
      <c r="A29" s="7" t="inlineStr">
        <is>
          <t>5. Activities</t>
        </is>
      </c>
    </row>
    <row r="30">
      <c r="A30" s="3" t="inlineStr">
        <is>
          <t>Item</t>
        </is>
      </c>
      <c r="B30" s="3" t="inlineStr">
        <is>
          <t>Quantity</t>
        </is>
      </c>
      <c r="C30" s="3" t="inlineStr">
        <is>
          <t>Unit Cost</t>
        </is>
      </c>
      <c r="D30" s="3" t="inlineStr">
        <is>
          <t>Total</t>
        </is>
      </c>
      <c r="E30" s="3" t="inlineStr">
        <is>
          <t>Notes</t>
        </is>
      </c>
    </row>
    <row r="31">
      <c r="A31" s="4" t="inlineStr">
        <is>
          <t>Verrazzano winery tour + tasting</t>
        </is>
      </c>
      <c r="B31" s="4" t="n">
        <v>2</v>
      </c>
      <c r="C31" s="9" t="n">
        <v>35</v>
      </c>
      <c r="D31" s="9">
        <f>B31*C31</f>
        <v/>
      </c>
      <c r="E31" s="4" t="inlineStr">
        <is>
          <t>Adults; kids free</t>
        </is>
      </c>
    </row>
    <row r="32">
      <c r="A32" s="4" t="inlineStr">
        <is>
          <t>Siena Duomo timed entry</t>
        </is>
      </c>
      <c r="B32" s="4" t="n">
        <v>4</v>
      </c>
      <c r="C32" s="9" t="n">
        <v>16</v>
      </c>
      <c r="D32" s="9">
        <f>B32*C32</f>
        <v/>
      </c>
      <c r="E32" s="4" t="inlineStr">
        <is>
          <t>Book ahead</t>
        </is>
      </c>
    </row>
    <row r="33">
      <c r="A33" s="4" t="inlineStr">
        <is>
          <t>Pecorino tasting</t>
        </is>
      </c>
      <c r="B33" s="4" t="n">
        <v>4</v>
      </c>
      <c r="C33" s="9" t="n">
        <v>12</v>
      </c>
      <c r="D33" s="9">
        <f>B33*C33</f>
        <v/>
      </c>
      <c r="E33" s="4" t="inlineStr">
        <is>
          <t>Pienza</t>
        </is>
      </c>
    </row>
    <row r="34">
      <c r="A34" s="10" t="inlineStr">
        <is>
          <t>5. Activities Subtotal</t>
        </is>
      </c>
      <c r="B34" s="11" t="n"/>
      <c r="C34" s="11" t="n"/>
      <c r="D34" s="12">
        <f>SUM(D31:D33)</f>
        <v/>
      </c>
      <c r="E34" s="11" t="n"/>
    </row>
    <row r="36">
      <c r="A36" s="7" t="inlineStr">
        <is>
          <t>Grand Total</t>
        </is>
      </c>
    </row>
    <row r="37">
      <c r="A37" s="3" t="inlineStr">
        <is>
          <t>Category</t>
        </is>
      </c>
      <c r="B37" s="3" t="inlineStr">
        <is>
          <t>Total</t>
        </is>
      </c>
    </row>
    <row r="38">
      <c r="A38" s="13" t="inlineStr">
        <is>
          <t>1. Flights</t>
        </is>
      </c>
      <c r="B38" s="14">
        <f>D7</f>
        <v/>
      </c>
    </row>
    <row r="39">
      <c r="A39" s="13" t="inlineStr">
        <is>
          <t>2. Accommodation</t>
        </is>
      </c>
      <c r="B39" s="14">
        <f>D13</f>
        <v/>
      </c>
    </row>
    <row r="40">
      <c r="A40" s="13" t="inlineStr">
        <is>
          <t>3. Car &amp; fuel</t>
        </is>
      </c>
      <c r="B40" s="14">
        <f>D20</f>
        <v/>
      </c>
    </row>
    <row r="41">
      <c r="A41" s="13" t="inlineStr">
        <is>
          <t>4. Food</t>
        </is>
      </c>
      <c r="B41" s="14">
        <f>D27</f>
        <v/>
      </c>
    </row>
    <row r="42">
      <c r="A42" s="13" t="inlineStr">
        <is>
          <t>5. Activities</t>
        </is>
      </c>
      <c r="B42" s="14">
        <f>D34</f>
        <v/>
      </c>
    </row>
    <row r="43">
      <c r="A43" s="10" t="inlineStr">
        <is>
          <t>Overall Total</t>
        </is>
      </c>
      <c r="B43" s="12">
        <f>SUM(B38:B42)</f>
        <v/>
      </c>
    </row>
    <row r="44">
      <c r="A44" s="13" t="inlineStr">
        <is>
          <t>Contingency (10%)</t>
        </is>
      </c>
      <c r="B44" s="14">
        <f>B43*0.1</f>
        <v/>
      </c>
    </row>
    <row r="45">
      <c r="A45" s="15" t="inlineStr">
        <is>
          <t>Adjusted Grand Total</t>
        </is>
      </c>
      <c r="B45" s="16">
        <f>B43+B44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How to read this budget</t>
        </is>
      </c>
    </row>
    <row r="2">
      <c r="A2" s="8" t="inlineStr">
        <is>
          <t>All figures are planning estimates in EUR for a family of 4 (2 adults, 2 children). Totals are live formulas — change any Quantity or Unit Cost and the sheet recomputes.</t>
        </is>
      </c>
    </row>
    <row r="3">
      <c r="A3" s="7" t="inlineStr">
        <is>
          <t>Where the money goes</t>
        </is>
      </c>
    </row>
    <row r="4">
      <c r="A4" s="8" t="inlineStr">
        <is>
          <t>Accommodation and food dominate a Tuscany week; the car is unavoidable for the hill towns but a single compact SUV covers the whole loop. A 10% contingency is added at the bottom.</t>
        </is>
      </c>
    </row>
    <row r="5">
      <c r="A5" s="7" t="inlineStr">
        <is>
          <t>Easy savings</t>
        </is>
      </c>
    </row>
    <row r="6">
      <c r="A6" s="8" t="inlineStr">
        <is>
          <t>Agriturismo breakfasts are included, lunches at enotecas are cheaper than dinners, and most panoramas (Val d'Orcia, Bagno Vignoni piazza) are free.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Heat &amp; kids</t>
        </is>
      </c>
    </row>
    <row r="2">
      <c r="A2" s="8" t="inlineStr">
        <is>
          <t>July midday tops 34–37 °C. Front-load sightseeing to the morning, reserve the afternoon for the agriturismo pool, and carry water — the engine already reserved a mid-stay pool day.</t>
        </is>
      </c>
    </row>
    <row r="3">
      <c r="A3" s="7" t="inlineStr">
        <is>
          <t>Driving in Tuscany</t>
        </is>
      </c>
    </row>
    <row r="4">
      <c r="A4" s="8" t="inlineStr">
        <is>
          <t>Hill-town centres are ZTL (limited-traffic) zones — park outside the walls and walk in. Return the car with a full tank near the airport.</t>
        </is>
      </c>
    </row>
    <row r="5">
      <c r="A5" s="7" t="inlineStr">
        <is>
          <t>Book ahead</t>
        </is>
      </c>
    </row>
    <row r="6">
      <c r="A6" s="8" t="inlineStr">
        <is>
          <t>Siena Duomo uses timed entry and the Verrazzano winery requires a reservation — both flagged in the warnings below.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Plan a balanced 8-day Tuscany family trip (2 adults + 2 kids, ages 10 &amp; 13), 22–29 Jul 2026, flying TLV→Florence, two bases (Chianti then Val d'Orcia), interests history/art/food/wine/scenery/shopping, heat-aware with pool days, max ~120 min drive/day. Build the itinerary, a scored target bank, a budget workbook and a printable brochure.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2026-06-27T15:42:28Z</dcterms:created>
  <dcterms:modified xsi:type="dcterms:W3CDTF">2026-06-27T15:42:28Z</dcterms:modified>
</cp:coreProperties>
</file>